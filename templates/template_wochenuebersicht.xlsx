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R:\Disposition\Leitung\Liste Bauer\Wochenübersicht FP\"/>
    </mc:Choice>
  </mc:AlternateContent>
  <xr:revisionPtr revIDLastSave="0" documentId="13_ncr:1_{797161B8-52CD-42B3-9A08-0BC75738A296}" xr6:coauthVersionLast="47" xr6:coauthVersionMax="47" xr10:uidLastSave="{00000000-0000-0000-0000-000000000000}"/>
  <bookViews>
    <workbookView xWindow="38280" yWindow="-105" windowWidth="38640" windowHeight="15720" activeTab="1" xr2:uid="{00000000-000D-0000-FFFF-FFFF00000000}"/>
  </bookViews>
  <sheets>
    <sheet name="KW 27 - KW 31" sheetId="19" r:id="rId1"/>
    <sheet name="KW 32 - 35" sheetId="20" r:id="rId2"/>
  </sheets>
  <definedNames>
    <definedName name="_xlnm._FilterDatabase" localSheetId="0" hidden="1">'KW 27 - KW 31'!$A$2:$H$2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0" l="1"/>
  <c r="G5" i="20"/>
  <c r="G6" i="20"/>
  <c r="G7" i="20"/>
  <c r="G8" i="20"/>
  <c r="F30" i="20"/>
  <c r="F31" i="20" s="1"/>
  <c r="E30" i="20"/>
  <c r="E31" i="20" s="1"/>
  <c r="D30" i="20"/>
  <c r="D31" i="20" s="1"/>
  <c r="C30" i="20"/>
  <c r="C31" i="20" s="1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9" i="20"/>
  <c r="G3" i="20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3" i="19"/>
  <c r="D31" i="19"/>
  <c r="C30" i="19"/>
  <c r="C31" i="19" s="1"/>
  <c r="G30" i="19"/>
  <c r="G31" i="19" s="1"/>
  <c r="F30" i="19"/>
  <c r="F31" i="19" s="1"/>
  <c r="E30" i="19"/>
  <c r="E31" i="19" s="1"/>
  <c r="D30" i="19"/>
  <c r="G30" i="20" l="1"/>
  <c r="H30" i="19"/>
  <c r="H31" i="19" s="1"/>
</calcChain>
</file>

<file path=xl/sharedStrings.xml><?xml version="1.0" encoding="utf-8"?>
<sst xmlns="http://schemas.openxmlformats.org/spreadsheetml/2006/main" count="125" uniqueCount="44">
  <si>
    <t>Disponent</t>
  </si>
  <si>
    <t>Kennzeichen</t>
  </si>
  <si>
    <t xml:space="preserve">KA-LL 4010 </t>
  </si>
  <si>
    <t xml:space="preserve">KA-LL 4011 </t>
  </si>
  <si>
    <t xml:space="preserve">KA-LL 4012  </t>
  </si>
  <si>
    <t xml:space="preserve">KA-LL 4013 </t>
  </si>
  <si>
    <t>KA-LL 4014</t>
  </si>
  <si>
    <t xml:space="preserve">KA-LL 4015  </t>
  </si>
  <si>
    <t>KA-LL 8030</t>
  </si>
  <si>
    <t>KA-LL 8031</t>
  </si>
  <si>
    <t>KA-LL 8032</t>
  </si>
  <si>
    <t>KA-LL 8033</t>
  </si>
  <si>
    <t>KA-LL 8034</t>
  </si>
  <si>
    <t>KA-LL 8035</t>
  </si>
  <si>
    <t>KA-LL 8036</t>
  </si>
  <si>
    <t>KA-LL 8037</t>
  </si>
  <si>
    <t>KA-LL 8038</t>
  </si>
  <si>
    <t>KA-LL 8039</t>
  </si>
  <si>
    <t>KA-LL 8040</t>
  </si>
  <si>
    <t>KA-LL 8070</t>
  </si>
  <si>
    <t>KA-LL 8080</t>
  </si>
  <si>
    <t>gesamt</t>
  </si>
  <si>
    <t>durchschnittlicher Umsatz/ LKW</t>
  </si>
  <si>
    <t>KA-LL 8041</t>
  </si>
  <si>
    <t>KA-LL 8042</t>
  </si>
  <si>
    <t>KW 27</t>
  </si>
  <si>
    <t>TS-ZM 1510</t>
  </si>
  <si>
    <t>KA-LL 8043</t>
  </si>
  <si>
    <t>KA-LL 8044</t>
  </si>
  <si>
    <t>KA-LL 8045</t>
  </si>
  <si>
    <t xml:space="preserve">KA-LL 8060 </t>
  </si>
  <si>
    <t>NV Ettlingen</t>
  </si>
  <si>
    <t>FV Ettlingen</t>
  </si>
  <si>
    <t>Leipzig</t>
  </si>
  <si>
    <t>26 LKW</t>
  </si>
  <si>
    <t>KW 28</t>
  </si>
  <si>
    <t>KW 29</t>
  </si>
  <si>
    <t>KW 30</t>
  </si>
  <si>
    <t>KW 31</t>
  </si>
  <si>
    <t>Wochen - U m s a t z   i n   €</t>
  </si>
  <si>
    <t>KW 32</t>
  </si>
  <si>
    <t>KW 33</t>
  </si>
  <si>
    <t>KW 34</t>
  </si>
  <si>
    <t>KW35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</si>
</sst>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vertical="center"/>
    </xf>
    <xf numFmtId="16" fontId="2" fillId="0" borderId="2" xfId="0" applyNumberFormat="1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3" fillId="0" borderId="9" xfId="0" applyFont="1" applyBorder="1"/>
    <xf numFmtId="16" fontId="2" fillId="0" borderId="10" xfId="0" applyNumberFormat="1" applyFont="1" applyBorder="1" applyAlignment="1">
      <alignment horizontal="center" vertical="center"/>
    </xf>
    <xf numFmtId="0" fontId="3" fillId="2" borderId="21" xfId="0" applyFont="1" applyFill="1" applyBorder="1"/>
    <xf numFmtId="0" fontId="3" fillId="2" borderId="4" xfId="0" applyFont="1" applyFill="1" applyBorder="1"/>
    <xf numFmtId="164" fontId="4" fillId="2" borderId="5" xfId="0" applyNumberFormat="1" applyFont="1" applyFill="1" applyBorder="1" applyAlignment="1">
      <alignment horizontal="right"/>
    </xf>
    <xf numFmtId="164" fontId="4" fillId="2" borderId="7" xfId="0" applyNumberFormat="1" applyFont="1" applyFill="1" applyBorder="1" applyAlignment="1">
      <alignment horizontal="right"/>
    </xf>
    <xf numFmtId="164" fontId="3" fillId="0" borderId="0" xfId="0" applyNumberFormat="1" applyFont="1"/>
    <xf numFmtId="164" fontId="4" fillId="2" borderId="8" xfId="0" applyNumberFormat="1" applyFont="1" applyFill="1" applyBorder="1" applyAlignment="1">
      <alignment horizontal="right"/>
    </xf>
    <xf numFmtId="164" fontId="3" fillId="0" borderId="7" xfId="0" applyNumberFormat="1" applyFont="1" applyBorder="1"/>
    <xf numFmtId="17" fontId="2" fillId="2" borderId="1" xfId="0" applyNumberFormat="1" applyFont="1" applyFill="1" applyBorder="1" applyAlignment="1">
      <alignment horizontal="center"/>
    </xf>
    <xf numFmtId="164" fontId="3" fillId="2" borderId="6" xfId="0" applyNumberFormat="1" applyFont="1" applyFill="1" applyBorder="1" applyAlignment="1">
      <alignment horizontal="right"/>
    </xf>
    <xf numFmtId="164" fontId="3" fillId="2" borderId="20" xfId="0" applyNumberFormat="1" applyFont="1" applyFill="1" applyBorder="1" applyAlignment="1">
      <alignment horizontal="right"/>
    </xf>
    <xf numFmtId="164" fontId="3" fillId="2" borderId="8" xfId="0" applyNumberFormat="1" applyFont="1" applyFill="1" applyBorder="1" applyAlignment="1">
      <alignment horizontal="right"/>
    </xf>
    <xf numFmtId="164" fontId="4" fillId="2" borderId="16" xfId="0" applyNumberFormat="1" applyFont="1" applyFill="1" applyBorder="1" applyAlignment="1">
      <alignment horizontal="right"/>
    </xf>
    <xf numFmtId="164" fontId="3" fillId="0" borderId="8" xfId="0" applyNumberFormat="1" applyFont="1" applyBorder="1"/>
    <xf numFmtId="164" fontId="3" fillId="0" borderId="16" xfId="0" applyNumberFormat="1" applyFont="1" applyBorder="1"/>
    <xf numFmtId="164" fontId="3" fillId="2" borderId="16" xfId="0" applyNumberFormat="1" applyFont="1" applyFill="1" applyBorder="1" applyAlignment="1">
      <alignment horizontal="right"/>
    </xf>
    <xf numFmtId="164" fontId="4" fillId="2" borderId="18" xfId="0" applyNumberFormat="1" applyFont="1" applyFill="1" applyBorder="1" applyAlignment="1">
      <alignment horizontal="right"/>
    </xf>
    <xf numFmtId="164" fontId="3" fillId="2" borderId="18" xfId="0" applyNumberFormat="1" applyFont="1" applyFill="1" applyBorder="1" applyAlignment="1">
      <alignment horizontal="right"/>
    </xf>
    <xf numFmtId="164" fontId="3" fillId="2" borderId="19" xfId="0" applyNumberFormat="1" applyFont="1" applyFill="1" applyBorder="1" applyAlignment="1">
      <alignment horizontal="right"/>
    </xf>
    <xf numFmtId="164" fontId="2" fillId="2" borderId="9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2" fillId="0" borderId="0" xfId="0" applyNumberFormat="1" applyFont="1"/>
    <xf numFmtId="0" fontId="3" fillId="3" borderId="3" xfId="0" applyFont="1" applyFill="1" applyBorder="1"/>
    <xf numFmtId="0" fontId="3" fillId="3" borderId="4" xfId="0" applyFont="1" applyFill="1" applyBorder="1"/>
    <xf numFmtId="164" fontId="4" fillId="3" borderId="7" xfId="0" applyNumberFormat="1" applyFont="1" applyFill="1" applyBorder="1" applyAlignment="1">
      <alignment horizontal="right"/>
    </xf>
    <xf numFmtId="164" fontId="4" fillId="3" borderId="8" xfId="0" applyNumberFormat="1" applyFont="1" applyFill="1" applyBorder="1" applyAlignment="1">
      <alignment horizontal="right"/>
    </xf>
    <xf numFmtId="164" fontId="3" fillId="3" borderId="8" xfId="0" applyNumberFormat="1" applyFont="1" applyFill="1" applyBorder="1" applyAlignment="1">
      <alignment horizontal="right"/>
    </xf>
    <xf numFmtId="164" fontId="3" fillId="3" borderId="16" xfId="0" applyNumberFormat="1" applyFont="1" applyFill="1" applyBorder="1" applyAlignment="1">
      <alignment horizontal="right"/>
    </xf>
    <xf numFmtId="164" fontId="2" fillId="3" borderId="3" xfId="0" applyNumberFormat="1" applyFont="1" applyFill="1" applyBorder="1" applyAlignment="1">
      <alignment horizontal="right"/>
    </xf>
    <xf numFmtId="164" fontId="3" fillId="3" borderId="7" xfId="0" applyNumberFormat="1" applyFont="1" applyFill="1" applyBorder="1"/>
    <xf numFmtId="164" fontId="4" fillId="3" borderId="18" xfId="0" applyNumberFormat="1" applyFont="1" applyFill="1" applyBorder="1" applyAlignment="1">
      <alignment horizontal="right"/>
    </xf>
    <xf numFmtId="164" fontId="3" fillId="3" borderId="18" xfId="0" applyNumberFormat="1" applyFont="1" applyFill="1" applyBorder="1" applyAlignment="1">
      <alignment horizontal="right"/>
    </xf>
    <xf numFmtId="164" fontId="3" fillId="3" borderId="19" xfId="0" applyNumberFormat="1" applyFont="1" applyFill="1" applyBorder="1" applyAlignment="1">
      <alignment horizontal="right"/>
    </xf>
    <xf numFmtId="0" fontId="3" fillId="3" borderId="12" xfId="0" applyFont="1" applyFill="1" applyBorder="1"/>
    <xf numFmtId="0" fontId="7" fillId="3" borderId="13" xfId="0" applyFont="1" applyFill="1" applyBorder="1"/>
    <xf numFmtId="164" fontId="3" fillId="3" borderId="14" xfId="0" applyNumberFormat="1" applyFont="1" applyFill="1" applyBorder="1"/>
    <xf numFmtId="164" fontId="4" fillId="3" borderId="15" xfId="0" applyNumberFormat="1" applyFont="1" applyFill="1" applyBorder="1" applyAlignment="1">
      <alignment horizontal="right"/>
    </xf>
    <xf numFmtId="164" fontId="3" fillId="3" borderId="15" xfId="0" applyNumberFormat="1" applyFont="1" applyFill="1" applyBorder="1" applyAlignment="1">
      <alignment horizontal="right"/>
    </xf>
    <xf numFmtId="164" fontId="3" fillId="3" borderId="17" xfId="0" applyNumberFormat="1" applyFont="1" applyFill="1" applyBorder="1" applyAlignment="1">
      <alignment horizontal="right"/>
    </xf>
    <xf numFmtId="164" fontId="2" fillId="3" borderId="12" xfId="0" applyNumberFormat="1" applyFont="1" applyFill="1" applyBorder="1" applyAlignment="1">
      <alignment horizontal="right"/>
    </xf>
    <xf numFmtId="16" fontId="2" fillId="0" borderId="1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5B633-A4D7-41A1-B403-E18429A37BF0}">
  <dimension ref="A1:H32"/>
  <sheetViews>
    <sheetView zoomScale="110" zoomScaleNormal="110" workbookViewId="0">
      <selection activeCell="H31" sqref="A1:H31"/>
    </sheetView>
  </sheetViews>
  <sheetFormatPr baseColWidth="10" defaultRowHeight="15" x14ac:dyDescent="0.25"/>
  <cols>
    <col min="1" max="1" width="15.140625" bestFit="1" customWidth="1"/>
    <col min="2" max="2" width="31.85546875" customWidth="1"/>
    <col min="3" max="6" width="13.7109375" customWidth="1"/>
    <col min="7" max="7" width="13.28515625" bestFit="1" customWidth="1"/>
    <col min="8" max="8" width="18.42578125" customWidth="1"/>
  </cols>
  <sheetData>
    <row r="1" spans="1:8" ht="15.75" thickBot="1" x14ac:dyDescent="0.3">
      <c r="A1" s="51" t="s">
        <v>39</v>
      </c>
      <c r="B1" s="52"/>
      <c r="C1" s="52"/>
      <c r="D1" s="52"/>
      <c r="E1" s="52"/>
      <c r="F1" s="52"/>
      <c r="G1" s="52"/>
    </row>
    <row r="2" spans="1:8" ht="15.75" thickBot="1" x14ac:dyDescent="0.3">
      <c r="A2" s="1" t="s">
        <v>0</v>
      </c>
      <c r="B2" s="1" t="s">
        <v>1</v>
      </c>
      <c r="C2" s="2" t="s">
        <v>25</v>
      </c>
      <c r="D2" s="2" t="s">
        <v>35</v>
      </c>
      <c r="E2" s="2" t="s">
        <v>36</v>
      </c>
      <c r="F2" s="50" t="s">
        <v>37</v>
      </c>
      <c r="G2" s="10" t="s">
        <v>38</v>
      </c>
      <c r="H2" s="18">
        <v>46569</v>
      </c>
    </row>
    <row r="3" spans="1:8" x14ac:dyDescent="0.25">
      <c r="A3" s="9" t="s">
        <v>31</v>
      </c>
      <c r="B3" s="11" t="s">
        <v>2</v>
      </c>
      <c r="C3" s="13">
        <v>3750.78</v>
      </c>
      <c r="D3" s="19">
        <v>2836.2299999999996</v>
      </c>
      <c r="E3" s="19">
        <v>3040.65</v>
      </c>
      <c r="F3" s="19">
        <v>5992.909999999998</v>
      </c>
      <c r="G3" s="20">
        <v>467.4</v>
      </c>
      <c r="H3" s="29">
        <f>SUM(C3:G3)</f>
        <v>16087.969999999998</v>
      </c>
    </row>
    <row r="4" spans="1:8" x14ac:dyDescent="0.25">
      <c r="A4" s="3" t="s">
        <v>31</v>
      </c>
      <c r="B4" s="12" t="s">
        <v>3</v>
      </c>
      <c r="C4" s="14">
        <v>3580.3500000000008</v>
      </c>
      <c r="D4" s="21">
        <v>6156.7100000000009</v>
      </c>
      <c r="E4" s="21">
        <v>3936.1</v>
      </c>
      <c r="F4" s="21">
        <v>0</v>
      </c>
      <c r="G4" s="22">
        <v>2334.29</v>
      </c>
      <c r="H4" s="30">
        <f t="shared" ref="H4:H28" si="0">SUM(C4:G4)</f>
        <v>16007.45</v>
      </c>
    </row>
    <row r="5" spans="1:8" x14ac:dyDescent="0.25">
      <c r="A5" s="3" t="s">
        <v>31</v>
      </c>
      <c r="B5" s="12" t="s">
        <v>4</v>
      </c>
      <c r="C5" s="14">
        <v>3610.3600000000006</v>
      </c>
      <c r="D5" s="23">
        <v>2574.0500000000002</v>
      </c>
      <c r="E5" s="23">
        <v>2972.4700000000003</v>
      </c>
      <c r="F5" s="23">
        <v>5896.9699999999984</v>
      </c>
      <c r="G5" s="24">
        <v>5494.2799999999988</v>
      </c>
      <c r="H5" s="30">
        <f t="shared" si="0"/>
        <v>20548.129999999997</v>
      </c>
    </row>
    <row r="6" spans="1:8" x14ac:dyDescent="0.25">
      <c r="A6" s="3" t="s">
        <v>31</v>
      </c>
      <c r="B6" s="12" t="s">
        <v>5</v>
      </c>
      <c r="C6" s="14">
        <v>3014.9900000000002</v>
      </c>
      <c r="D6" s="23">
        <v>3422.1700000000005</v>
      </c>
      <c r="E6" s="23">
        <v>5555.510000000002</v>
      </c>
      <c r="F6" s="23">
        <v>3353.24</v>
      </c>
      <c r="G6" s="24">
        <v>5017.7299999999987</v>
      </c>
      <c r="H6" s="30">
        <f t="shared" si="0"/>
        <v>20363.64</v>
      </c>
    </row>
    <row r="7" spans="1:8" x14ac:dyDescent="0.25">
      <c r="A7" s="3" t="s">
        <v>31</v>
      </c>
      <c r="B7" s="12" t="s">
        <v>6</v>
      </c>
      <c r="C7" s="14">
        <v>3046.1200000000003</v>
      </c>
      <c r="D7" s="21">
        <v>5568.46</v>
      </c>
      <c r="E7" s="21">
        <v>4642.3500000000022</v>
      </c>
      <c r="F7" s="21">
        <v>5880.04</v>
      </c>
      <c r="G7" s="25">
        <v>5830.2499999999991</v>
      </c>
      <c r="H7" s="30">
        <f t="shared" si="0"/>
        <v>24967.22</v>
      </c>
    </row>
    <row r="8" spans="1:8" x14ac:dyDescent="0.25">
      <c r="A8" s="3" t="s">
        <v>31</v>
      </c>
      <c r="B8" s="12" t="s">
        <v>7</v>
      </c>
      <c r="C8" s="14">
        <v>2728.7100000000005</v>
      </c>
      <c r="D8" s="21">
        <v>0</v>
      </c>
      <c r="E8" s="21">
        <v>0</v>
      </c>
      <c r="F8" s="21">
        <v>3369.0399999999991</v>
      </c>
      <c r="G8" s="25">
        <v>2690.7</v>
      </c>
      <c r="H8" s="30">
        <f t="shared" si="0"/>
        <v>8788.4500000000007</v>
      </c>
    </row>
    <row r="9" spans="1:8" x14ac:dyDescent="0.25">
      <c r="A9" s="3" t="s">
        <v>31</v>
      </c>
      <c r="B9" s="12" t="s">
        <v>8</v>
      </c>
      <c r="C9" s="14">
        <v>3090.9300000000003</v>
      </c>
      <c r="D9" s="21">
        <v>6532.68</v>
      </c>
      <c r="E9" s="21">
        <v>6623.2100000000009</v>
      </c>
      <c r="F9" s="21">
        <v>5938.8399999999983</v>
      </c>
      <c r="G9" s="25">
        <v>5500.12</v>
      </c>
      <c r="H9" s="30">
        <f t="shared" si="0"/>
        <v>27685.78</v>
      </c>
    </row>
    <row r="10" spans="1:8" x14ac:dyDescent="0.25">
      <c r="A10" s="3" t="s">
        <v>31</v>
      </c>
      <c r="B10" s="12" t="s">
        <v>9</v>
      </c>
      <c r="C10" s="14">
        <v>6449.3300000000008</v>
      </c>
      <c r="D10" s="21">
        <v>5431.94</v>
      </c>
      <c r="E10" s="21">
        <v>6222.9300000000012</v>
      </c>
      <c r="F10" s="21">
        <v>6150.7399999999971</v>
      </c>
      <c r="G10" s="25">
        <v>6703.6499999999978</v>
      </c>
      <c r="H10" s="30">
        <f t="shared" si="0"/>
        <v>30958.589999999997</v>
      </c>
    </row>
    <row r="11" spans="1:8" x14ac:dyDescent="0.25">
      <c r="A11" s="3" t="s">
        <v>32</v>
      </c>
      <c r="B11" s="12" t="s">
        <v>10</v>
      </c>
      <c r="C11" s="14">
        <v>3617.11</v>
      </c>
      <c r="D11" s="21">
        <v>3433.17</v>
      </c>
      <c r="E11" s="21">
        <v>4030.73</v>
      </c>
      <c r="F11" s="21">
        <v>3089.51</v>
      </c>
      <c r="G11" s="25">
        <v>4228.2300000000005</v>
      </c>
      <c r="H11" s="30">
        <f t="shared" si="0"/>
        <v>18398.75</v>
      </c>
    </row>
    <row r="12" spans="1:8" x14ac:dyDescent="0.25">
      <c r="A12" s="3" t="s">
        <v>32</v>
      </c>
      <c r="B12" s="12" t="s">
        <v>11</v>
      </c>
      <c r="C12" s="14">
        <v>4216.9400000000005</v>
      </c>
      <c r="D12" s="21">
        <v>3359.99</v>
      </c>
      <c r="E12" s="16">
        <v>3103.26</v>
      </c>
      <c r="F12" s="16">
        <v>3490.4100000000003</v>
      </c>
      <c r="G12" s="25">
        <v>3882.8199999999997</v>
      </c>
      <c r="H12" s="30">
        <f t="shared" si="0"/>
        <v>18053.419999999998</v>
      </c>
    </row>
    <row r="13" spans="1:8" x14ac:dyDescent="0.25">
      <c r="A13" s="3" t="s">
        <v>31</v>
      </c>
      <c r="B13" s="4" t="s">
        <v>12</v>
      </c>
      <c r="C13" s="14">
        <v>5544.63</v>
      </c>
      <c r="D13" s="21">
        <v>5837.0400000000009</v>
      </c>
      <c r="E13" s="21">
        <v>5081.0400000000018</v>
      </c>
      <c r="F13" s="21">
        <v>6287.8899999999976</v>
      </c>
      <c r="G13" s="25">
        <v>6977.6799999999994</v>
      </c>
      <c r="H13" s="30">
        <f t="shared" si="0"/>
        <v>29728.28</v>
      </c>
    </row>
    <row r="14" spans="1:8" x14ac:dyDescent="0.25">
      <c r="A14" s="3" t="s">
        <v>32</v>
      </c>
      <c r="B14" s="4" t="s">
        <v>13</v>
      </c>
      <c r="C14" s="14">
        <v>3884.98</v>
      </c>
      <c r="D14" s="21">
        <v>2889.5699999999997</v>
      </c>
      <c r="E14" s="21">
        <v>3457.4100000000003</v>
      </c>
      <c r="F14" s="21">
        <v>3481.6299999999997</v>
      </c>
      <c r="G14" s="25">
        <v>3477.23</v>
      </c>
      <c r="H14" s="30">
        <f t="shared" si="0"/>
        <v>17190.82</v>
      </c>
    </row>
    <row r="15" spans="1:8" x14ac:dyDescent="0.25">
      <c r="A15" s="3" t="s">
        <v>31</v>
      </c>
      <c r="B15" s="4" t="s">
        <v>14</v>
      </c>
      <c r="C15" s="14">
        <v>5873.12</v>
      </c>
      <c r="D15" s="21">
        <v>5776.119999999999</v>
      </c>
      <c r="E15" s="21">
        <v>5255.28</v>
      </c>
      <c r="F15" s="21">
        <v>6614.4499999999971</v>
      </c>
      <c r="G15" s="25">
        <v>7367.6799999999994</v>
      </c>
      <c r="H15" s="30">
        <f t="shared" si="0"/>
        <v>30886.649999999994</v>
      </c>
    </row>
    <row r="16" spans="1:8" x14ac:dyDescent="0.25">
      <c r="A16" s="3" t="s">
        <v>32</v>
      </c>
      <c r="B16" s="4" t="s">
        <v>15</v>
      </c>
      <c r="C16" s="14">
        <v>6043.9699999999993</v>
      </c>
      <c r="D16" s="21">
        <v>3144.08</v>
      </c>
      <c r="E16" s="21">
        <v>3765.5199999999995</v>
      </c>
      <c r="F16" s="21">
        <v>0</v>
      </c>
      <c r="G16" s="25">
        <v>3070.63</v>
      </c>
      <c r="H16" s="30">
        <f t="shared" si="0"/>
        <v>16024.2</v>
      </c>
    </row>
    <row r="17" spans="1:8" x14ac:dyDescent="0.25">
      <c r="A17" s="3" t="s">
        <v>32</v>
      </c>
      <c r="B17" s="4" t="s">
        <v>16</v>
      </c>
      <c r="C17" s="14">
        <v>3850.74</v>
      </c>
      <c r="D17" s="21">
        <v>3481.67</v>
      </c>
      <c r="E17" s="21">
        <v>4002.4100000000003</v>
      </c>
      <c r="F17" s="21">
        <v>3630.84</v>
      </c>
      <c r="G17" s="22">
        <v>3784.63</v>
      </c>
      <c r="H17" s="30">
        <f t="shared" si="0"/>
        <v>18750.29</v>
      </c>
    </row>
    <row r="18" spans="1:8" x14ac:dyDescent="0.25">
      <c r="A18" s="3" t="s">
        <v>32</v>
      </c>
      <c r="B18" s="4" t="s">
        <v>17</v>
      </c>
      <c r="C18" s="14">
        <v>4158.76</v>
      </c>
      <c r="D18" s="21">
        <v>3605.5</v>
      </c>
      <c r="E18" s="21">
        <v>4049.34</v>
      </c>
      <c r="F18" s="21">
        <v>3081.3199999999997</v>
      </c>
      <c r="G18" s="25">
        <v>3873.66</v>
      </c>
      <c r="H18" s="30">
        <f t="shared" si="0"/>
        <v>18768.580000000002</v>
      </c>
    </row>
    <row r="19" spans="1:8" x14ac:dyDescent="0.25">
      <c r="A19" s="3" t="s">
        <v>32</v>
      </c>
      <c r="B19" s="4" t="s">
        <v>18</v>
      </c>
      <c r="C19" s="14">
        <v>3390.7099999999996</v>
      </c>
      <c r="D19" s="21">
        <v>3405.98</v>
      </c>
      <c r="E19" s="21">
        <v>3285.9299999999994</v>
      </c>
      <c r="F19" s="21">
        <v>0</v>
      </c>
      <c r="G19" s="25">
        <v>0</v>
      </c>
      <c r="H19" s="30">
        <f t="shared" si="0"/>
        <v>10082.619999999999</v>
      </c>
    </row>
    <row r="20" spans="1:8" x14ac:dyDescent="0.25">
      <c r="A20" s="3" t="s">
        <v>32</v>
      </c>
      <c r="B20" s="4" t="s">
        <v>23</v>
      </c>
      <c r="C20" s="14">
        <v>3504.57</v>
      </c>
      <c r="D20" s="21">
        <v>3458.2999999999997</v>
      </c>
      <c r="E20" s="21">
        <v>3853.04</v>
      </c>
      <c r="F20" s="21">
        <v>3728.52</v>
      </c>
      <c r="G20" s="25">
        <v>4560.82</v>
      </c>
      <c r="H20" s="30">
        <f t="shared" si="0"/>
        <v>19105.25</v>
      </c>
    </row>
    <row r="21" spans="1:8" x14ac:dyDescent="0.25">
      <c r="A21" s="3" t="s">
        <v>31</v>
      </c>
      <c r="B21" s="4" t="s">
        <v>24</v>
      </c>
      <c r="C21" s="14">
        <v>3226.63</v>
      </c>
      <c r="D21" s="21">
        <v>5639.3099999999995</v>
      </c>
      <c r="E21" s="21">
        <v>4152.8600000000006</v>
      </c>
      <c r="F21" s="21">
        <v>5699.7399999999989</v>
      </c>
      <c r="G21" s="25">
        <v>5085.2599999999984</v>
      </c>
      <c r="H21" s="30">
        <f t="shared" si="0"/>
        <v>23803.799999999996</v>
      </c>
    </row>
    <row r="22" spans="1:8" x14ac:dyDescent="0.25">
      <c r="A22" s="32" t="s">
        <v>33</v>
      </c>
      <c r="B22" s="33" t="s">
        <v>27</v>
      </c>
      <c r="C22" s="34">
        <v>0</v>
      </c>
      <c r="D22" s="35">
        <v>4115.3200000000006</v>
      </c>
      <c r="E22" s="36">
        <v>3960</v>
      </c>
      <c r="F22" s="36">
        <v>3972.3799999999983</v>
      </c>
      <c r="G22" s="37">
        <v>3973.6599999999989</v>
      </c>
      <c r="H22" s="38">
        <f t="shared" si="0"/>
        <v>16021.359999999997</v>
      </c>
    </row>
    <row r="23" spans="1:8" x14ac:dyDescent="0.25">
      <c r="A23" s="32" t="s">
        <v>33</v>
      </c>
      <c r="B23" s="33" t="s">
        <v>28</v>
      </c>
      <c r="C23" s="39">
        <v>4250</v>
      </c>
      <c r="D23" s="40">
        <v>4228.5300000000007</v>
      </c>
      <c r="E23" s="41">
        <v>3902.9900000000007</v>
      </c>
      <c r="F23" s="41">
        <v>0</v>
      </c>
      <c r="G23" s="42">
        <v>3921.8199999999997</v>
      </c>
      <c r="H23" s="38">
        <f t="shared" si="0"/>
        <v>16303.34</v>
      </c>
    </row>
    <row r="24" spans="1:8" x14ac:dyDescent="0.25">
      <c r="A24" s="32" t="s">
        <v>33</v>
      </c>
      <c r="B24" s="33" t="s">
        <v>29</v>
      </c>
      <c r="C24" s="39">
        <v>3560</v>
      </c>
      <c r="D24" s="40">
        <v>4859</v>
      </c>
      <c r="E24" s="41">
        <v>4840</v>
      </c>
      <c r="F24" s="41">
        <v>3032</v>
      </c>
      <c r="G24" s="42">
        <v>3640.75</v>
      </c>
      <c r="H24" s="38">
        <f t="shared" si="0"/>
        <v>19931.75</v>
      </c>
    </row>
    <row r="25" spans="1:8" x14ac:dyDescent="0.25">
      <c r="A25" s="32" t="s">
        <v>33</v>
      </c>
      <c r="B25" s="33" t="s">
        <v>30</v>
      </c>
      <c r="C25" s="39">
        <v>4964.1100000000006</v>
      </c>
      <c r="D25" s="41">
        <v>5099.9799999999996</v>
      </c>
      <c r="E25" s="41">
        <v>3940</v>
      </c>
      <c r="F25" s="41">
        <v>4254.75</v>
      </c>
      <c r="G25" s="42">
        <v>4483</v>
      </c>
      <c r="H25" s="38">
        <f t="shared" si="0"/>
        <v>22741.84</v>
      </c>
    </row>
    <row r="26" spans="1:8" x14ac:dyDescent="0.25">
      <c r="A26" s="3" t="s">
        <v>32</v>
      </c>
      <c r="B26" s="4" t="s">
        <v>19</v>
      </c>
      <c r="C26" s="14">
        <v>0</v>
      </c>
      <c r="D26" s="26">
        <v>0</v>
      </c>
      <c r="E26" s="27">
        <v>0</v>
      </c>
      <c r="F26" s="27">
        <v>0</v>
      </c>
      <c r="G26" s="28">
        <v>0</v>
      </c>
      <c r="H26" s="30">
        <f t="shared" si="0"/>
        <v>0</v>
      </c>
    </row>
    <row r="27" spans="1:8" x14ac:dyDescent="0.25">
      <c r="A27" s="3" t="s">
        <v>32</v>
      </c>
      <c r="B27" s="4" t="s">
        <v>20</v>
      </c>
      <c r="C27" s="17">
        <v>4521.09</v>
      </c>
      <c r="D27" s="26">
        <v>0</v>
      </c>
      <c r="E27" s="27">
        <v>3091.8600000000006</v>
      </c>
      <c r="F27" s="27">
        <v>3558.8899999999994</v>
      </c>
      <c r="G27" s="28">
        <v>3624.6800000000003</v>
      </c>
      <c r="H27" s="30">
        <f t="shared" si="0"/>
        <v>14796.52</v>
      </c>
    </row>
    <row r="28" spans="1:8" ht="15.75" thickBot="1" x14ac:dyDescent="0.3">
      <c r="A28" s="43" t="s">
        <v>33</v>
      </c>
      <c r="B28" s="44" t="s">
        <v>26</v>
      </c>
      <c r="C28" s="45">
        <v>8016.04</v>
      </c>
      <c r="D28" s="46">
        <v>8483.44</v>
      </c>
      <c r="E28" s="47">
        <v>7945</v>
      </c>
      <c r="F28" s="47">
        <v>8738.130000000001</v>
      </c>
      <c r="G28" s="48">
        <v>7915.94</v>
      </c>
      <c r="H28" s="49">
        <f t="shared" si="0"/>
        <v>41098.550000000003</v>
      </c>
    </row>
    <row r="29" spans="1:8" x14ac:dyDescent="0.25">
      <c r="A29" s="5"/>
      <c r="B29" s="5"/>
      <c r="C29" s="15"/>
      <c r="D29" s="15"/>
      <c r="E29" s="15"/>
      <c r="F29" s="15"/>
      <c r="G29" s="15"/>
      <c r="H29" s="31"/>
    </row>
    <row r="30" spans="1:8" x14ac:dyDescent="0.25">
      <c r="A30" s="5"/>
      <c r="B30" s="6" t="s">
        <v>21</v>
      </c>
      <c r="C30" s="15">
        <f>SUM(C3:C29)</f>
        <v>101894.97000000002</v>
      </c>
      <c r="D30" s="15">
        <f>SUM(D3:D28)</f>
        <v>103339.24</v>
      </c>
      <c r="E30" s="15">
        <f>SUM(E3:E28)</f>
        <v>104709.89000000001</v>
      </c>
      <c r="F30" s="15">
        <f>SUM(F3:F28)</f>
        <v>99242.240000000005</v>
      </c>
      <c r="G30" s="15">
        <f>SUM(G3:G28)</f>
        <v>107906.91</v>
      </c>
      <c r="H30" s="31">
        <f>SUM(H3:H28)</f>
        <v>517093.25000000006</v>
      </c>
    </row>
    <row r="31" spans="1:8" x14ac:dyDescent="0.25">
      <c r="A31" s="7" t="s">
        <v>34</v>
      </c>
      <c r="B31" s="8" t="s">
        <v>22</v>
      </c>
      <c r="C31" s="15">
        <f t="shared" ref="C31:H31" si="1">C30/26</f>
        <v>3919.0373076923083</v>
      </c>
      <c r="D31" s="15">
        <f t="shared" si="1"/>
        <v>3974.586153846154</v>
      </c>
      <c r="E31" s="15">
        <f t="shared" si="1"/>
        <v>4027.3034615384622</v>
      </c>
      <c r="F31" s="15">
        <f t="shared" si="1"/>
        <v>3817.0092307692312</v>
      </c>
      <c r="G31" s="15">
        <f t="shared" si="1"/>
        <v>4150.2657692307694</v>
      </c>
      <c r="H31" s="31">
        <f t="shared" si="1"/>
        <v>19888.201923076926</v>
      </c>
    </row>
    <row r="32" spans="1:8" x14ac:dyDescent="0.25">
      <c r="A32" s="5"/>
      <c r="B32" s="5"/>
      <c r="C32" s="5"/>
      <c r="D32" s="5"/>
      <c r="E32" s="5"/>
      <c r="F32" s="5"/>
      <c r="G32" s="5"/>
      <c r="H32" s="5"/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63E55-C618-43B8-ACCF-9E01E332C048}">
  <dimension ref="A1:G32"/>
  <sheetViews>
    <sheetView tabSelected="1" workbookViewId="0">
      <selection activeCell="G31" sqref="A1:G31"/>
    </sheetView>
  </sheetViews>
  <sheetFormatPr baseColWidth="10" defaultRowHeight="15" x14ac:dyDescent="0.25"/>
  <cols>
    <col min="1" max="1" width="15.140625" bestFit="1" customWidth="1"/>
    <col min="2" max="2" width="31.85546875" customWidth="1"/>
    <col min="3" max="6" width="13.7109375" customWidth="1"/>
    <col min="7" max="7" width="18.42578125" customWidth="1"/>
  </cols>
  <sheetData>
    <row r="1" spans="1:7" ht="15.75" thickBot="1" x14ac:dyDescent="0.3">
      <c r="A1" s="51" t="s">
        <v>39</v>
      </c>
      <c r="B1" s="52"/>
      <c r="C1" s="52"/>
      <c r="D1" s="52"/>
      <c r="E1" s="52"/>
      <c r="F1" s="52"/>
    </row>
    <row r="2" spans="1:7" ht="15.75" thickBot="1" x14ac:dyDescent="0.3">
      <c r="A2" s="1" t="s">
        <v>0</v>
      </c>
      <c r="B2" s="1" t="s">
        <v>1</v>
      </c>
      <c r="C2" s="2" t="s">
        <v>40</v>
      </c>
      <c r="D2" s="2" t="s">
        <v>41</v>
      </c>
      <c r="E2" s="2" t="s">
        <v>42</v>
      </c>
      <c r="F2" s="2" t="s">
        <v>43</v>
      </c>
      <c r="G2" s="18">
        <v>46569</v>
      </c>
    </row>
    <row r="3" spans="1:7" x14ac:dyDescent="0.25">
      <c r="A3" s="9" t="s">
        <v>31</v>
      </c>
      <c r="B3" s="11" t="s">
        <v>2</v>
      </c>
      <c r="C3" s="13">
        <v>476.02</v>
      </c>
      <c r="D3" s="19">
        <v>0</v>
      </c>
      <c r="E3" s="19"/>
      <c r="F3" s="19"/>
      <c r="G3" s="29">
        <f t="shared" ref="G3:G28" si="0">SUM(C3:F3)</f>
        <v>476.02</v>
      </c>
    </row>
    <row r="4" spans="1:7" x14ac:dyDescent="0.25">
      <c r="A4" s="3" t="s">
        <v>31</v>
      </c>
      <c r="B4" s="12" t="s">
        <v>3</v>
      </c>
      <c r="C4" s="14">
        <v>5613.0700000000015</v>
      </c>
      <c r="D4" s="21">
        <v>4767.4699999999993</v>
      </c>
      <c r="E4" s="21"/>
      <c r="F4" s="16"/>
      <c r="G4" s="30">
        <f t="shared" si="0"/>
        <v>10380.540000000001</v>
      </c>
    </row>
    <row r="5" spans="1:7" x14ac:dyDescent="0.25">
      <c r="A5" s="3" t="s">
        <v>31</v>
      </c>
      <c r="B5" s="12" t="s">
        <v>4</v>
      </c>
      <c r="C5" s="14">
        <v>5195.130000000001</v>
      </c>
      <c r="D5" s="23">
        <v>5474.8099999999995</v>
      </c>
      <c r="E5" s="23"/>
      <c r="F5" s="23"/>
      <c r="G5" s="30">
        <f t="shared" si="0"/>
        <v>10669.94</v>
      </c>
    </row>
    <row r="6" spans="1:7" x14ac:dyDescent="0.25">
      <c r="A6" s="3" t="s">
        <v>31</v>
      </c>
      <c r="B6" s="12" t="s">
        <v>5</v>
      </c>
      <c r="C6" s="14">
        <v>4838.4300000000012</v>
      </c>
      <c r="D6" s="23">
        <v>6283.6699999999992</v>
      </c>
      <c r="E6" s="23"/>
      <c r="F6" s="23"/>
      <c r="G6" s="30">
        <f t="shared" si="0"/>
        <v>11122.1</v>
      </c>
    </row>
    <row r="7" spans="1:7" x14ac:dyDescent="0.25">
      <c r="A7" s="3" t="s">
        <v>31</v>
      </c>
      <c r="B7" s="12" t="s">
        <v>6</v>
      </c>
      <c r="C7" s="14">
        <v>5564.5000000000027</v>
      </c>
      <c r="D7" s="21">
        <v>6137.6899999999987</v>
      </c>
      <c r="E7" s="21"/>
      <c r="F7" s="21"/>
      <c r="G7" s="30">
        <f t="shared" si="0"/>
        <v>11702.190000000002</v>
      </c>
    </row>
    <row r="8" spans="1:7" x14ac:dyDescent="0.25">
      <c r="A8" s="3" t="s">
        <v>31</v>
      </c>
      <c r="B8" s="12" t="s">
        <v>7</v>
      </c>
      <c r="C8" s="14">
        <v>6856.4500000000025</v>
      </c>
      <c r="D8" s="21">
        <v>2463.6</v>
      </c>
      <c r="E8" s="21"/>
      <c r="F8" s="21"/>
      <c r="G8" s="30">
        <f t="shared" si="0"/>
        <v>9320.0500000000029</v>
      </c>
    </row>
    <row r="9" spans="1:7" x14ac:dyDescent="0.25">
      <c r="A9" s="3" t="s">
        <v>31</v>
      </c>
      <c r="B9" s="12" t="s">
        <v>8</v>
      </c>
      <c r="C9" s="14">
        <v>5239.2800000000016</v>
      </c>
      <c r="D9" s="21">
        <v>5391.82</v>
      </c>
      <c r="E9" s="21"/>
      <c r="F9" s="21"/>
      <c r="G9" s="30">
        <f t="shared" si="0"/>
        <v>10631.100000000002</v>
      </c>
    </row>
    <row r="10" spans="1:7" x14ac:dyDescent="0.25">
      <c r="A10" s="3" t="s">
        <v>31</v>
      </c>
      <c r="B10" s="12" t="s">
        <v>9</v>
      </c>
      <c r="C10" s="14">
        <v>2142.91</v>
      </c>
      <c r="D10" s="21">
        <v>5017.45</v>
      </c>
      <c r="E10" s="21"/>
      <c r="F10" s="21"/>
      <c r="G10" s="30">
        <f t="shared" si="0"/>
        <v>7160.36</v>
      </c>
    </row>
    <row r="11" spans="1:7" x14ac:dyDescent="0.25">
      <c r="A11" s="3" t="s">
        <v>32</v>
      </c>
      <c r="B11" s="12" t="s">
        <v>10</v>
      </c>
      <c r="C11" s="14">
        <v>3354.26</v>
      </c>
      <c r="D11" s="21">
        <v>3883.64</v>
      </c>
      <c r="E11" s="21"/>
      <c r="F11" s="21"/>
      <c r="G11" s="30">
        <f t="shared" si="0"/>
        <v>7237.9</v>
      </c>
    </row>
    <row r="12" spans="1:7" x14ac:dyDescent="0.25">
      <c r="A12" s="3" t="s">
        <v>32</v>
      </c>
      <c r="B12" s="12" t="s">
        <v>11</v>
      </c>
      <c r="C12" s="14">
        <v>3509</v>
      </c>
      <c r="D12" s="21">
        <v>0</v>
      </c>
      <c r="E12" s="16"/>
      <c r="F12" s="21"/>
      <c r="G12" s="30">
        <f t="shared" si="0"/>
        <v>3509</v>
      </c>
    </row>
    <row r="13" spans="1:7" x14ac:dyDescent="0.25">
      <c r="A13" s="3" t="s">
        <v>31</v>
      </c>
      <c r="B13" s="4" t="s">
        <v>12</v>
      </c>
      <c r="C13" s="14">
        <v>6138.9000000000005</v>
      </c>
      <c r="D13" s="21">
        <v>6069.3899999999994</v>
      </c>
      <c r="E13" s="21"/>
      <c r="F13" s="21"/>
      <c r="G13" s="30">
        <f t="shared" si="0"/>
        <v>12208.29</v>
      </c>
    </row>
    <row r="14" spans="1:7" x14ac:dyDescent="0.25">
      <c r="A14" s="3" t="s">
        <v>32</v>
      </c>
      <c r="B14" s="4" t="s">
        <v>13</v>
      </c>
      <c r="C14" s="14">
        <v>2791.6400000000003</v>
      </c>
      <c r="D14" s="21">
        <v>3427.2</v>
      </c>
      <c r="E14" s="21"/>
      <c r="F14" s="21"/>
      <c r="G14" s="30">
        <f t="shared" si="0"/>
        <v>6218.84</v>
      </c>
    </row>
    <row r="15" spans="1:7" x14ac:dyDescent="0.25">
      <c r="A15" s="3" t="s">
        <v>31</v>
      </c>
      <c r="B15" s="4" t="s">
        <v>14</v>
      </c>
      <c r="C15" s="14">
        <v>5076.9100000000008</v>
      </c>
      <c r="D15" s="21">
        <v>3091.88</v>
      </c>
      <c r="E15" s="21"/>
      <c r="F15" s="21"/>
      <c r="G15" s="30">
        <f t="shared" si="0"/>
        <v>8168.7900000000009</v>
      </c>
    </row>
    <row r="16" spans="1:7" x14ac:dyDescent="0.25">
      <c r="A16" s="3" t="s">
        <v>32</v>
      </c>
      <c r="B16" s="4" t="s">
        <v>15</v>
      </c>
      <c r="C16" s="14">
        <v>3885.6099999999997</v>
      </c>
      <c r="D16" s="21">
        <v>423.87</v>
      </c>
      <c r="E16" s="21"/>
      <c r="F16" s="21"/>
      <c r="G16" s="30">
        <f t="shared" si="0"/>
        <v>4309.4799999999996</v>
      </c>
    </row>
    <row r="17" spans="1:7" x14ac:dyDescent="0.25">
      <c r="A17" s="3" t="s">
        <v>32</v>
      </c>
      <c r="B17" s="4" t="s">
        <v>16</v>
      </c>
      <c r="C17" s="14">
        <v>4921.17</v>
      </c>
      <c r="D17" s="21">
        <v>2959</v>
      </c>
      <c r="E17" s="21"/>
      <c r="F17" s="16"/>
      <c r="G17" s="30">
        <f t="shared" si="0"/>
        <v>7880.17</v>
      </c>
    </row>
    <row r="18" spans="1:7" x14ac:dyDescent="0.25">
      <c r="A18" s="3" t="s">
        <v>32</v>
      </c>
      <c r="B18" s="4" t="s">
        <v>17</v>
      </c>
      <c r="C18" s="14">
        <v>3519.85</v>
      </c>
      <c r="D18" s="21">
        <v>3425.1199999999994</v>
      </c>
      <c r="E18" s="21"/>
      <c r="F18" s="21"/>
      <c r="G18" s="30">
        <f t="shared" si="0"/>
        <v>6944.9699999999993</v>
      </c>
    </row>
    <row r="19" spans="1:7" x14ac:dyDescent="0.25">
      <c r="A19" s="3" t="s">
        <v>32</v>
      </c>
      <c r="B19" s="4" t="s">
        <v>18</v>
      </c>
      <c r="C19" s="14">
        <v>2803.92</v>
      </c>
      <c r="D19" s="21">
        <v>3530.6099999999997</v>
      </c>
      <c r="E19" s="21"/>
      <c r="F19" s="21"/>
      <c r="G19" s="30">
        <f t="shared" si="0"/>
        <v>6334.53</v>
      </c>
    </row>
    <row r="20" spans="1:7" x14ac:dyDescent="0.25">
      <c r="A20" s="3" t="s">
        <v>32</v>
      </c>
      <c r="B20" s="4" t="s">
        <v>23</v>
      </c>
      <c r="C20" s="14">
        <v>3737.91</v>
      </c>
      <c r="D20" s="21">
        <v>3626.3799999999992</v>
      </c>
      <c r="E20" s="21"/>
      <c r="F20" s="21"/>
      <c r="G20" s="30">
        <f t="shared" si="0"/>
        <v>7364.2899999999991</v>
      </c>
    </row>
    <row r="21" spans="1:7" x14ac:dyDescent="0.25">
      <c r="A21" s="3" t="s">
        <v>31</v>
      </c>
      <c r="B21" s="4" t="s">
        <v>24</v>
      </c>
      <c r="C21" s="14">
        <v>6577.9800000000023</v>
      </c>
      <c r="D21" s="21">
        <v>5892.1699999999992</v>
      </c>
      <c r="E21" s="21"/>
      <c r="F21" s="21"/>
      <c r="G21" s="30">
        <f t="shared" si="0"/>
        <v>12470.150000000001</v>
      </c>
    </row>
    <row r="22" spans="1:7" x14ac:dyDescent="0.25">
      <c r="A22" s="32" t="s">
        <v>33</v>
      </c>
      <c r="B22" s="33" t="s">
        <v>27</v>
      </c>
      <c r="C22" s="34">
        <v>3207.4199999999992</v>
      </c>
      <c r="D22" s="35">
        <v>3163.6599999999989</v>
      </c>
      <c r="E22" s="36"/>
      <c r="F22" s="36"/>
      <c r="G22" s="38">
        <f t="shared" si="0"/>
        <v>6371.0799999999981</v>
      </c>
    </row>
    <row r="23" spans="1:7" x14ac:dyDescent="0.25">
      <c r="A23" s="32" t="s">
        <v>33</v>
      </c>
      <c r="B23" s="33" t="s">
        <v>28</v>
      </c>
      <c r="C23" s="39">
        <v>4300</v>
      </c>
      <c r="D23" s="40">
        <v>3972.5</v>
      </c>
      <c r="E23" s="41"/>
      <c r="F23" s="41"/>
      <c r="G23" s="38">
        <f t="shared" si="0"/>
        <v>8272.5</v>
      </c>
    </row>
    <row r="24" spans="1:7" x14ac:dyDescent="0.25">
      <c r="A24" s="32" t="s">
        <v>33</v>
      </c>
      <c r="B24" s="33" t="s">
        <v>29</v>
      </c>
      <c r="C24" s="39">
        <v>4441.5</v>
      </c>
      <c r="D24" s="40">
        <v>0</v>
      </c>
      <c r="E24" s="41"/>
      <c r="F24" s="41"/>
      <c r="G24" s="38">
        <f t="shared" si="0"/>
        <v>4441.5</v>
      </c>
    </row>
    <row r="25" spans="1:7" x14ac:dyDescent="0.25">
      <c r="A25" s="32" t="s">
        <v>33</v>
      </c>
      <c r="B25" s="33" t="s">
        <v>30</v>
      </c>
      <c r="C25" s="39">
        <v>4746.5</v>
      </c>
      <c r="D25" s="41">
        <v>4800.5</v>
      </c>
      <c r="E25" s="41"/>
      <c r="F25" s="41"/>
      <c r="G25" s="38">
        <f t="shared" si="0"/>
        <v>9547</v>
      </c>
    </row>
    <row r="26" spans="1:7" x14ac:dyDescent="0.25">
      <c r="A26" s="3" t="s">
        <v>32</v>
      </c>
      <c r="B26" s="4" t="s">
        <v>19</v>
      </c>
      <c r="C26" s="14">
        <v>808.75</v>
      </c>
      <c r="D26" s="26">
        <v>0</v>
      </c>
      <c r="E26" s="27"/>
      <c r="F26" s="27"/>
      <c r="G26" s="30">
        <f t="shared" si="0"/>
        <v>808.75</v>
      </c>
    </row>
    <row r="27" spans="1:7" x14ac:dyDescent="0.25">
      <c r="A27" s="3" t="s">
        <v>32</v>
      </c>
      <c r="B27" s="4" t="s">
        <v>20</v>
      </c>
      <c r="C27" s="17">
        <v>4281.3999999999996</v>
      </c>
      <c r="D27" s="26">
        <v>4239.2</v>
      </c>
      <c r="E27" s="27"/>
      <c r="F27" s="27"/>
      <c r="G27" s="30">
        <f t="shared" si="0"/>
        <v>8520.5999999999985</v>
      </c>
    </row>
    <row r="28" spans="1:7" ht="15.75" thickBot="1" x14ac:dyDescent="0.3">
      <c r="A28" s="43" t="s">
        <v>33</v>
      </c>
      <c r="B28" s="44" t="s">
        <v>26</v>
      </c>
      <c r="C28" s="45">
        <v>7884.69</v>
      </c>
      <c r="D28" s="46">
        <v>8004.69</v>
      </c>
      <c r="E28" s="47"/>
      <c r="F28" s="47"/>
      <c r="G28" s="49">
        <f t="shared" si="0"/>
        <v>15889.38</v>
      </c>
    </row>
    <row r="29" spans="1:7" x14ac:dyDescent="0.25">
      <c r="A29" s="5"/>
      <c r="B29" s="5"/>
      <c r="C29" s="15"/>
      <c r="D29" s="15"/>
      <c r="E29" s="15"/>
      <c r="F29" s="15"/>
      <c r="G29" s="31"/>
    </row>
    <row r="30" spans="1:7" x14ac:dyDescent="0.25">
      <c r="A30" s="5"/>
      <c r="B30" s="6" t="s">
        <v>21</v>
      </c>
      <c r="C30" s="15">
        <f>SUM(C3:C29)</f>
        <v>111913.20000000001</v>
      </c>
      <c r="D30" s="15">
        <f>SUM(D3:D28)</f>
        <v>96046.319999999992</v>
      </c>
      <c r="E30" s="15">
        <f>SUM(E3:E28)</f>
        <v>0</v>
      </c>
      <c r="F30" s="15">
        <f>SUM(F3:F28)</f>
        <v>0</v>
      </c>
      <c r="G30" s="31">
        <f>SUM(G3:G28)</f>
        <v>207959.52</v>
      </c>
    </row>
    <row r="31" spans="1:7" x14ac:dyDescent="0.25">
      <c r="A31" s="7" t="s">
        <v>34</v>
      </c>
      <c r="B31" s="8" t="s">
        <v>22</v>
      </c>
      <c r="C31" s="15">
        <f>C30/26</f>
        <v>4304.3538461538465</v>
      </c>
      <c r="D31" s="15">
        <f>D30/26</f>
        <v>3694.0892307692307</v>
      </c>
      <c r="E31" s="15">
        <f>E30/26</f>
        <v>0</v>
      </c>
      <c r="F31" s="15">
        <f>F30/26</f>
        <v>0</v>
      </c>
      <c r="G31" s="31"/>
    </row>
    <row r="32" spans="1:7" x14ac:dyDescent="0.25">
      <c r="A32" s="5"/>
      <c r="B32" s="5"/>
      <c r="C32" s="5"/>
      <c r="D32" s="5"/>
      <c r="E32" s="5"/>
      <c r="F32" s="5"/>
      <c r="G32" s="5"/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KW 27 - KW 31</vt:lpstr>
      <vt:lpstr>KW 32 - 35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Heck</dc:creator>
  <cp:lastModifiedBy>Tobias Waschek</cp:lastModifiedBy>
  <cp:lastPrinted>2026-01-14T11:02:51Z</cp:lastPrinted>
  <dcterms:created xsi:type="dcterms:W3CDTF">2015-06-05T18:19:34Z</dcterms:created>
  <dcterms:modified xsi:type="dcterms:W3CDTF">2026-08-17T06:19:29Z</dcterms:modified>
</cp:coreProperties>
</file>